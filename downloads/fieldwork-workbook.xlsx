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Transect" sheetId="2" state="visible" r:id="rId2"/>
    <sheet xmlns:r="http://schemas.openxmlformats.org/officeDocument/2006/relationships" name="Random quadrats" sheetId="3" state="visible" r:id="rId3"/>
    <sheet xmlns:r="http://schemas.openxmlformats.org/officeDocument/2006/relationships" name="Chi-squared" sheetId="4" state="visible" r:id="rId4"/>
    <sheet xmlns:r="http://schemas.openxmlformats.org/officeDocument/2006/relationships" name="Example data" sheetId="5" state="visible" r:id="rId5"/>
    <sheet xmlns:r="http://schemas.openxmlformats.org/officeDocument/2006/relationships" name="Critical values" sheetId="6" state="visible" r:id="rId6"/>
  </sheets>
  <definedNames/>
  <calcPr calcId="124519" fullCalcOnLoad="1"/>
</workbook>
</file>

<file path=xl/styles.xml><?xml version="1.0" encoding="utf-8"?>
<styleSheet xmlns="http://schemas.openxmlformats.org/spreadsheetml/2006/main">
  <numFmts count="1">
    <numFmt numFmtId="164" formatCode="0.0000"/>
  </numFmts>
  <fonts count="6">
    <font>
      <name val="Calibri"/>
      <family val="2"/>
      <color theme="1"/>
      <sz val="11"/>
      <scheme val="minor"/>
    </font>
    <font>
      <b val="1"/>
      <sz val="14"/>
    </font>
    <font>
      <b val="1"/>
    </font>
    <font>
      <color rgb="00666666"/>
      <sz val="9"/>
    </font>
    <font>
      <name val="Courier New"/>
      <color rgb="00555555"/>
      <sz val="10"/>
    </font>
    <font>
      <i val="1"/>
      <color rgb="008F5310"/>
    </font>
  </fonts>
  <fills count="5">
    <fill>
      <patternFill/>
    </fill>
    <fill>
      <patternFill patternType="gray125"/>
    </fill>
    <fill>
      <patternFill patternType="solid">
        <fgColor rgb="00EEF0F5"/>
      </patternFill>
    </fill>
    <fill>
      <patternFill patternType="solid">
        <fgColor rgb="00FFF4B8"/>
      </patternFill>
    </fill>
    <fill>
      <patternFill patternType="solid">
        <fgColor rgb="00DDF1F2"/>
      </patternFill>
    </fill>
  </fills>
  <borders count="2">
    <border>
      <left/>
      <right/>
      <top/>
      <bottom/>
      <diagonal/>
    </border>
    <border>
      <left style="thin">
        <color rgb="00C9CCD6"/>
      </left>
      <right style="thin">
        <color rgb="00C9CCD6"/>
      </right>
      <top style="thin">
        <color rgb="00C9CCD6"/>
      </top>
      <bottom style="thin">
        <color rgb="00C9CCD6"/>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1" applyAlignment="1" pivotButton="0" quotePrefix="0" xfId="0">
      <alignment horizontal="center" wrapText="1"/>
    </xf>
    <xf numFmtId="0" fontId="0" fillId="0" borderId="1" pivotButton="0" quotePrefix="0" xfId="0"/>
    <xf numFmtId="0" fontId="0" fillId="3" borderId="1" pivotButton="0" quotePrefix="0" xfId="0"/>
    <xf numFmtId="2" fontId="0" fillId="4" borderId="1" pivotButton="0" quotePrefix="0" xfId="0"/>
    <xf numFmtId="0" fontId="4" fillId="0" borderId="0" pivotButton="0" quotePrefix="0" xfId="0"/>
    <xf numFmtId="0" fontId="0" fillId="4" borderId="1" pivotButton="0" quotePrefix="0" xfId="0"/>
    <xf numFmtId="0" fontId="5" fillId="0" borderId="0" pivotButton="0" quotePrefix="0" xfId="0"/>
    <xf numFmtId="0" fontId="2" fillId="2" borderId="1" pivotButton="0" quotePrefix="0" xfId="0"/>
    <xf numFmtId="0" fontId="0" fillId="0" borderId="0" applyAlignment="1" pivotButton="0" quotePrefix="0" xfId="0">
      <alignment vertical="top" wrapText="1"/>
    </xf>
    <xf numFmtId="164"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3"/>
  <chart>
    <title>
      <tx>
        <rich>
          <a:bodyPr xmlns:a="http://schemas.openxmlformats.org/drawingml/2006/main"/>
          <a:p xmlns:a="http://schemas.openxmlformats.org/drawingml/2006/main">
            <a:pPr>
              <a:defRPr/>
            </a:pPr>
            <a:r>
              <a:t>Barnacle cover and rock temperature</a:t>
            </a:r>
          </a:p>
        </rich>
      </tx>
    </title>
    <plotArea>
      <scatterChart>
        <ser>
          <idx val="0"/>
          <order val="0"/>
          <tx>
            <v>Barnacles</v>
          </tx>
          <spPr>
            <a:ln xmlns:a="http://schemas.openxmlformats.org/drawingml/2006/main">
              <a:noFill/>
              <a:prstDash val="solid"/>
            </a:ln>
          </spPr>
          <marker>
            <symbol val="circle"/>
            <spPr>
              <a:ln xmlns:a="http://schemas.openxmlformats.org/drawingml/2006/main">
                <a:prstDash val="solid"/>
              </a:ln>
            </spPr>
          </marker>
          <trendline>
            <trendlineType val="linear"/>
            <dispRSqr val="1"/>
            <dispEq val="1"/>
          </trendline>
          <xVal>
            <numRef>
              <f>'Transect'!$B$2:$B$12</f>
            </numRef>
          </xVal>
          <yVal>
            <numRef>
              <f>'Transect'!$C$2:$C$12</f>
            </numRef>
          </yVal>
        </ser>
        <axId val="10"/>
        <axId val="20"/>
      </scatterChart>
      <valAx>
        <axId val="10"/>
        <scaling>
          <orientation val="minMax"/>
          <max val="36"/>
          <min val="22"/>
        </scaling>
        <axPos val="l"/>
        <majorGridlines/>
        <title>
          <tx>
            <rich>
              <a:bodyPr xmlns:a="http://schemas.openxmlformats.org/drawingml/2006/main"/>
              <a:p xmlns:a="http://schemas.openxmlformats.org/drawingml/2006/main">
                <a:pPr>
                  <a:defRPr/>
                </a:pPr>
                <a:r>
                  <a:t>Rock temperature / °C</a:t>
                </a:r>
              </a:p>
            </rich>
          </tx>
        </title>
        <majorTickMark val="none"/>
        <minorTickMark val="none"/>
        <crossAx val="20"/>
      </valAx>
      <valAx>
        <axId val="20"/>
        <scaling>
          <orientation val="minMax"/>
          <max val="100"/>
          <min val="0"/>
        </scaling>
        <axPos val="l"/>
        <majorGridlines/>
        <title>
          <tx>
            <rich>
              <a:bodyPr xmlns:a="http://schemas.openxmlformats.org/drawingml/2006/main"/>
              <a:p xmlns:a="http://schemas.openxmlformats.org/drawingml/2006/main">
                <a:pPr>
                  <a:defRPr/>
                </a:pPr>
                <a:r>
                  <a:t>Barnacle cover /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14</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Rocky shore fieldwork: the workbook</t>
        </is>
      </c>
    </row>
    <row r="2">
      <c r="A2" t="inlineStr">
        <is>
          <t>IB Biology · B4.1.4 · C4.1.15 · https://nlcsbiology.com/rocky-shore-fieldwork-pract/</t>
        </is>
      </c>
    </row>
    <row r="3">
      <c r="A3" t="inlineStr"/>
    </row>
    <row r="4">
      <c r="A4" t="inlineStr">
        <is>
          <t>1. In Google Drive: New ▸ File upload, choose this file, then right-click it ▸ Open with ▸ Google Sheets.</t>
        </is>
      </c>
    </row>
    <row r="5">
      <c r="A5" t="inlineStr">
        <is>
          <t>2. Type your data in the YELLOW cells only: the Transect tab and the Random quadrats tab.</t>
        </is>
      </c>
    </row>
    <row r="6">
      <c r="A6" t="inlineStr">
        <is>
          <t>3. Every other number is a formula. Click a cell to read its formula in the formula bar; the grey text beside it shows the same formula.</t>
        </is>
      </c>
    </row>
    <row r="7">
      <c r="A7" t="inlineStr">
        <is>
          <t>4. The Example data tab holds the virtual shore's data, so you can check that your formulas give the same answers.</t>
        </is>
      </c>
    </row>
    <row r="8">
      <c r="A8" t="inlineStr"/>
    </row>
    <row r="9">
      <c r="A9" s="2" t="inlineStr">
        <is>
          <t>Make the scatter graph yourself (Google Sheets):</t>
        </is>
      </c>
    </row>
    <row r="10">
      <c r="A10" t="inlineStr">
        <is>
          <t xml:space="preserve">   Select the temperature column and one species column (hold Ctrl or ⌘ to select two columns that are not next to each other).</t>
        </is>
      </c>
    </row>
    <row r="11">
      <c r="A11" t="inlineStr">
        <is>
          <t xml:space="preserve">   Insert ▸ Chart. Chart editor ▸ Setup ▸ Chart type ▸ Scatter chart.</t>
        </is>
      </c>
    </row>
    <row r="12">
      <c r="A12" t="inlineStr">
        <is>
          <t xml:space="preserve">   Customise ▸ Series: tick Trendline; Label ▸ Use equation; tick Show R².</t>
        </is>
      </c>
    </row>
    <row r="13">
      <c r="A13" t="inlineStr">
        <is>
          <t xml:space="preserve">   Give the graph a title, for example: Figure 1. The effect of rock temperature on barnacle cover.</t>
        </is>
      </c>
    </row>
    <row r="14">
      <c r="A14" t="inlineStr"/>
    </row>
    <row r="15">
      <c r="A15" s="3" t="inlineStr">
        <is>
          <t>Code: AGPL-3.0 · Teaching material: CC BY-NC-SA 4.0 · Dr Daniel Mompel Riera, NLCS Jeju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3" customWidth="1" min="7" max="7"/>
    <col width="40" customWidth="1" min="8" max="8"/>
    <col width="46" customWidth="1" min="9" max="9"/>
    <col width="44" customWidth="1" min="10" max="10"/>
  </cols>
  <sheetData>
    <row r="1">
      <c r="A1" s="4" t="inlineStr">
        <is>
          <t>Distance / m</t>
        </is>
      </c>
      <c r="B1" s="4" t="inlineStr">
        <is>
          <t>Rock temperature / °C</t>
        </is>
      </c>
      <c r="C1" s="4" t="inlineStr">
        <is>
          <t>Barnacles / %</t>
        </is>
      </c>
      <c r="D1" s="4" t="inlineStr">
        <is>
          <t>Sea lettuce / %</t>
        </is>
      </c>
      <c r="E1" s="4" t="inlineStr">
        <is>
          <t>Brown seaweed / %</t>
        </is>
      </c>
      <c r="F1" s="4" t="inlineStr">
        <is>
          <t>Limpets / number</t>
        </is>
      </c>
      <c r="H1" s="2" t="inlineStr">
        <is>
          <t>Correlation with rock temperature</t>
        </is>
      </c>
    </row>
    <row r="2">
      <c r="A2" s="5" t="n">
        <v>0</v>
      </c>
      <c r="B2" s="6" t="n"/>
      <c r="C2" s="6" t="n"/>
      <c r="D2" s="6" t="n"/>
      <c r="E2" s="6" t="n"/>
      <c r="F2" s="6" t="n"/>
    </row>
    <row r="3">
      <c r="A3" s="5" t="n">
        <v>1</v>
      </c>
      <c r="B3" s="6" t="n"/>
      <c r="C3" s="6" t="n"/>
      <c r="D3" s="6" t="n"/>
      <c r="E3" s="6" t="n"/>
      <c r="F3" s="6" t="n"/>
      <c r="H3" s="2" t="inlineStr">
        <is>
          <t>Barnacles</t>
        </is>
      </c>
    </row>
    <row r="4">
      <c r="A4" s="5" t="n">
        <v>2</v>
      </c>
      <c r="B4" s="6" t="n"/>
      <c r="C4" s="6" t="n"/>
      <c r="D4" s="6" t="n"/>
      <c r="E4" s="6" t="n"/>
      <c r="F4" s="6" t="n"/>
      <c r="H4" t="inlineStr">
        <is>
          <t xml:space="preserve">   Pearson's r</t>
        </is>
      </c>
      <c r="I4" s="7">
        <f>IFERROR(CORREL($B$2:$B$12,C2:C12),"")</f>
        <v/>
      </c>
      <c r="J4" s="8" t="inlineStr">
        <is>
          <t>=CORREL(B2:B12, C2:C12)</t>
        </is>
      </c>
    </row>
    <row r="5">
      <c r="A5" s="5" t="n">
        <v>3</v>
      </c>
      <c r="B5" s="6" t="n"/>
      <c r="C5" s="6" t="n"/>
      <c r="D5" s="6" t="n"/>
      <c r="E5" s="6" t="n"/>
      <c r="F5" s="6" t="n"/>
      <c r="H5" t="inlineStr">
        <is>
          <t xml:space="preserve">   R² (straight line)</t>
        </is>
      </c>
      <c r="I5" s="7">
        <f>IFERROR(RSQ(C2:C12,$B$2:$B$12),"")</f>
        <v/>
      </c>
      <c r="J5" s="8" t="inlineStr">
        <is>
          <t>=RSQ(C2:C12, B2:B12)</t>
        </is>
      </c>
    </row>
    <row r="6">
      <c r="A6" s="5" t="n">
        <v>4</v>
      </c>
      <c r="B6" s="6" t="n"/>
      <c r="C6" s="6" t="n"/>
      <c r="D6" s="6" t="n"/>
      <c r="E6" s="6" t="n"/>
      <c r="F6" s="6" t="n"/>
      <c r="H6" t="inlineStr">
        <is>
          <t xml:space="preserve">   Number of quadrats</t>
        </is>
      </c>
      <c r="I6" s="9">
        <f>COUNT(C2:C12)</f>
        <v/>
      </c>
      <c r="J6" s="8" t="inlineStr">
        <is>
          <t>=COUNT(C2:C12)</t>
        </is>
      </c>
    </row>
    <row r="7">
      <c r="A7" s="5" t="n">
        <v>5</v>
      </c>
      <c r="B7" s="6" t="n"/>
      <c r="C7" s="6" t="n"/>
      <c r="D7" s="6" t="n"/>
      <c r="E7" s="6" t="n"/>
      <c r="F7" s="6" t="n"/>
      <c r="H7" t="inlineStr">
        <is>
          <t xml:space="preserve">   Critical r (p = 0.05)</t>
        </is>
      </c>
      <c r="I7" s="9">
        <f>IFERROR(VLOOKUP(I6,'Critical values'!$A$4:$B$29,2,FALSE),"")</f>
        <v/>
      </c>
      <c r="J7" s="8" t="inlineStr">
        <is>
          <t>looks up the number of quadrats in Critical values</t>
        </is>
      </c>
    </row>
    <row r="8">
      <c r="A8" s="5" t="n">
        <v>6</v>
      </c>
      <c r="B8" s="6" t="n"/>
      <c r="C8" s="6" t="n"/>
      <c r="D8" s="6" t="n"/>
      <c r="E8" s="6" t="n"/>
      <c r="F8" s="6" t="n"/>
      <c r="H8" t="inlineStr">
        <is>
          <t xml:space="preserve">   Significant?</t>
        </is>
      </c>
      <c r="I8" s="9">
        <f>IF(I4="","",IF(ABS(I4)&gt;I7,"yes: significant (p &lt; 0.05)","no: not significant"))</f>
        <v/>
      </c>
      <c r="J8" s="8" t="inlineStr">
        <is>
          <t>=IF(ABS(r) &gt; critical r, …)</t>
        </is>
      </c>
    </row>
    <row r="9">
      <c r="A9" s="5" t="n">
        <v>7</v>
      </c>
      <c r="B9" s="6" t="n"/>
      <c r="C9" s="6" t="n"/>
      <c r="D9" s="6" t="n"/>
      <c r="E9" s="6" t="n"/>
      <c r="F9" s="6" t="n"/>
      <c r="H9" s="2" t="inlineStr">
        <is>
          <t>Sea lettuce</t>
        </is>
      </c>
    </row>
    <row r="10">
      <c r="A10" s="5" t="n">
        <v>8</v>
      </c>
      <c r="B10" s="6" t="n"/>
      <c r="C10" s="6" t="n"/>
      <c r="D10" s="6" t="n"/>
      <c r="E10" s="6" t="n"/>
      <c r="F10" s="6" t="n"/>
      <c r="H10" t="inlineStr">
        <is>
          <t xml:space="preserve">   Pearson's r</t>
        </is>
      </c>
      <c r="I10" s="7">
        <f>IFERROR(CORREL($B$2:$B$12,D2:D12),"")</f>
        <v/>
      </c>
      <c r="J10" s="8" t="inlineStr">
        <is>
          <t>=CORREL(B2:B12, D2:D12)</t>
        </is>
      </c>
    </row>
    <row r="11">
      <c r="A11" s="5" t="n">
        <v>9</v>
      </c>
      <c r="B11" s="6" t="n"/>
      <c r="C11" s="6" t="n"/>
      <c r="D11" s="6" t="n"/>
      <c r="E11" s="6" t="n"/>
      <c r="F11" s="6" t="n"/>
      <c r="H11" t="inlineStr">
        <is>
          <t xml:space="preserve">   R² (straight line)</t>
        </is>
      </c>
      <c r="I11" s="7">
        <f>IFERROR(RSQ(D2:D12,$B$2:$B$12),"")</f>
        <v/>
      </c>
      <c r="J11" s="8" t="inlineStr">
        <is>
          <t>=RSQ(D2:D12, B2:B12)</t>
        </is>
      </c>
    </row>
    <row r="12">
      <c r="A12" s="5" t="n">
        <v>10</v>
      </c>
      <c r="B12" s="6" t="n"/>
      <c r="C12" s="6" t="n"/>
      <c r="D12" s="6" t="n"/>
      <c r="E12" s="6" t="n"/>
      <c r="F12" s="6" t="n"/>
      <c r="H12" t="inlineStr">
        <is>
          <t xml:space="preserve">   Number of quadrats</t>
        </is>
      </c>
      <c r="I12" s="9">
        <f>COUNT(D2:D12)</f>
        <v/>
      </c>
      <c r="J12" s="8" t="inlineStr">
        <is>
          <t>=COUNT(D2:D12)</t>
        </is>
      </c>
    </row>
    <row r="13">
      <c r="H13" t="inlineStr">
        <is>
          <t xml:space="preserve">   Critical r (p = 0.05)</t>
        </is>
      </c>
      <c r="I13" s="9">
        <f>IFERROR(VLOOKUP(I12,'Critical values'!$A$4:$B$29,2,FALSE),"")</f>
        <v/>
      </c>
      <c r="J13" s="8" t="inlineStr">
        <is>
          <t>looks up the number of quadrats in Critical values</t>
        </is>
      </c>
    </row>
    <row r="14">
      <c r="H14" t="inlineStr">
        <is>
          <t xml:space="preserve">   Significant?</t>
        </is>
      </c>
      <c r="I14" s="9">
        <f>IF(I10="","",IF(ABS(I10)&gt;I13,"yes: significant (p &lt; 0.05)","no: not significant"))</f>
        <v/>
      </c>
      <c r="J14" s="8" t="inlineStr">
        <is>
          <t>=IF(ABS(r) &gt; critical r, …)</t>
        </is>
      </c>
    </row>
    <row r="15">
      <c r="H15" s="2" t="inlineStr">
        <is>
          <t>Brown seaweed</t>
        </is>
      </c>
    </row>
    <row r="16">
      <c r="H16" t="inlineStr">
        <is>
          <t xml:space="preserve">   Pearson's r</t>
        </is>
      </c>
      <c r="I16" s="7">
        <f>IFERROR(CORREL($B$2:$B$12,E2:E12),"")</f>
        <v/>
      </c>
      <c r="J16" s="8" t="inlineStr">
        <is>
          <t>=CORREL(B2:B12, E2:E12)</t>
        </is>
      </c>
    </row>
    <row r="17">
      <c r="H17" t="inlineStr">
        <is>
          <t xml:space="preserve">   R² (straight line)</t>
        </is>
      </c>
      <c r="I17" s="7">
        <f>IFERROR(RSQ(E2:E12,$B$2:$B$12),"")</f>
        <v/>
      </c>
      <c r="J17" s="8" t="inlineStr">
        <is>
          <t>=RSQ(E2:E12, B2:B12)</t>
        </is>
      </c>
    </row>
    <row r="18">
      <c r="H18" t="inlineStr">
        <is>
          <t xml:space="preserve">   Number of quadrats</t>
        </is>
      </c>
      <c r="I18" s="9">
        <f>COUNT(E2:E12)</f>
        <v/>
      </c>
      <c r="J18" s="8" t="inlineStr">
        <is>
          <t>=COUNT(E2:E12)</t>
        </is>
      </c>
    </row>
    <row r="19">
      <c r="H19" t="inlineStr">
        <is>
          <t xml:space="preserve">   Critical r (p = 0.05)</t>
        </is>
      </c>
      <c r="I19" s="9">
        <f>IFERROR(VLOOKUP(I18,'Critical values'!$A$4:$B$29,2,FALSE),"")</f>
        <v/>
      </c>
      <c r="J19" s="8" t="inlineStr">
        <is>
          <t>looks up the number of quadrats in Critical values</t>
        </is>
      </c>
    </row>
    <row r="20">
      <c r="H20" t="inlineStr">
        <is>
          <t xml:space="preserve">   Significant?</t>
        </is>
      </c>
      <c r="I20" s="9">
        <f>IF(I16="","",IF(ABS(I16)&gt;I19,"yes: significant (p &lt; 0.05)","no: not significant"))</f>
        <v/>
      </c>
      <c r="J20" s="8" t="inlineStr">
        <is>
          <t>=IF(ABS(r) &gt; critical r, …)</t>
        </is>
      </c>
    </row>
    <row r="21">
      <c r="H21" s="2" t="inlineStr">
        <is>
          <t>Limpets</t>
        </is>
      </c>
    </row>
    <row r="22">
      <c r="H22" t="inlineStr">
        <is>
          <t xml:space="preserve">   Pearson's r</t>
        </is>
      </c>
      <c r="I22" s="7">
        <f>IFERROR(CORREL($B$2:$B$12,F2:F12),"")</f>
        <v/>
      </c>
      <c r="J22" s="8" t="inlineStr">
        <is>
          <t>=CORREL(B2:B12, F2:F12)</t>
        </is>
      </c>
    </row>
    <row r="23">
      <c r="H23" t="inlineStr">
        <is>
          <t xml:space="preserve">   R² (straight line)</t>
        </is>
      </c>
      <c r="I23" s="7">
        <f>IFERROR(RSQ(F2:F12,$B$2:$B$12),"")</f>
        <v/>
      </c>
      <c r="J23" s="8" t="inlineStr">
        <is>
          <t>=RSQ(F2:F12, B2:B12)</t>
        </is>
      </c>
    </row>
    <row r="24">
      <c r="H24" t="inlineStr">
        <is>
          <t xml:space="preserve">   Number of quadrats</t>
        </is>
      </c>
      <c r="I24" s="9">
        <f>COUNT(F2:F12)</f>
        <v/>
      </c>
      <c r="J24" s="8" t="inlineStr">
        <is>
          <t>=COUNT(F2:F12)</t>
        </is>
      </c>
    </row>
    <row r="25">
      <c r="H25" t="inlineStr">
        <is>
          <t xml:space="preserve">   Critical r (p = 0.05)</t>
        </is>
      </c>
      <c r="I25" s="9">
        <f>IFERROR(VLOOKUP(I24,'Critical values'!$A$4:$B$29,2,FALSE),"")</f>
        <v/>
      </c>
      <c r="J25" s="8" t="inlineStr">
        <is>
          <t>looks up the number of quadrats in Critical values</t>
        </is>
      </c>
    </row>
    <row r="26">
      <c r="H26" t="inlineStr">
        <is>
          <t xml:space="preserve">   Significant?</t>
        </is>
      </c>
      <c r="I26" s="9">
        <f>IF(I22="","",IF(ABS(I22)&gt;I25,"yes: significant (p &lt; 0.05)","no: not significant"))</f>
        <v/>
      </c>
      <c r="J26" s="8" t="inlineStr">
        <is>
          <t>=IF(ABS(r) &gt; critical r, …)</t>
        </is>
      </c>
    </row>
    <row r="28">
      <c r="H28" s="10" t="inlineStr">
        <is>
          <t>Look at the scatter graph before you trust r: r measures only a straight-line pattern.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10" customWidth="1" min="1" max="1"/>
    <col width="13" customWidth="1" min="2" max="2"/>
    <col width="12" customWidth="1" min="3" max="3"/>
    <col width="12" customWidth="1" min="4" max="4"/>
    <col width="13" customWidth="1" min="5" max="5"/>
    <col width="3" customWidth="1" min="6" max="6"/>
    <col width="58" customWidth="1" min="7" max="7"/>
  </cols>
  <sheetData>
    <row r="1">
      <c r="A1" s="11" t="inlineStr">
        <is>
          <t>Quadrat</t>
        </is>
      </c>
      <c r="B1" s="11" t="inlineStr">
        <is>
          <t>Across (0–9)</t>
        </is>
      </c>
      <c r="C1" s="11" t="inlineStr">
        <is>
          <t>Down (0–9)</t>
        </is>
      </c>
      <c r="D1" s="11" t="inlineStr">
        <is>
          <t>Limpets</t>
        </is>
      </c>
      <c r="E1" s="11" t="inlineStr">
        <is>
          <t>Sea lettuce</t>
        </is>
      </c>
      <c r="G1" s="2" t="inlineStr">
        <is>
          <t>Random positions</t>
        </is>
      </c>
    </row>
    <row r="2">
      <c r="A2" s="5" t="n">
        <v>1</v>
      </c>
      <c r="B2" s="6" t="n"/>
      <c r="C2" s="6" t="n"/>
      <c r="D2" s="6" t="n"/>
      <c r="E2" s="6" t="n"/>
      <c r="G2">
        <f>RANDBETWEEN(0,9)</f>
        <v/>
      </c>
      <c r="H2">
        <f>RANDBETWEEN(0,9)</f>
        <v/>
      </c>
    </row>
    <row r="3">
      <c r="A3" s="5" t="n">
        <v>2</v>
      </c>
      <c r="B3" s="6" t="n"/>
      <c r="C3" s="6" t="n"/>
      <c r="D3" s="6" t="n"/>
      <c r="E3" s="6" t="n"/>
      <c r="G3" s="12" t="inlineStr">
        <is>
          <t>The cell above gives a new random number from 0 to 9 every time the sheet changes.</t>
        </is>
      </c>
    </row>
    <row r="4">
      <c r="A4" s="5" t="n">
        <v>3</v>
      </c>
      <c r="B4" s="6" t="n"/>
      <c r="C4" s="6" t="n"/>
      <c r="D4" s="6" t="n"/>
      <c r="E4" s="6" t="n"/>
      <c r="G4" s="12" t="inlineStr">
        <is>
          <t>Write each pair of numbers down as soon as you get it: they change.</t>
        </is>
      </c>
    </row>
    <row r="5">
      <c r="A5" s="5" t="n">
        <v>4</v>
      </c>
      <c r="B5" s="6" t="n"/>
      <c r="C5" s="6" t="n"/>
      <c r="D5" s="6" t="n"/>
      <c r="E5" s="6" t="n"/>
    </row>
    <row r="6">
      <c r="A6" s="5" t="n">
        <v>5</v>
      </c>
      <c r="B6" s="6" t="n"/>
      <c r="C6" s="6" t="n"/>
      <c r="D6" s="6" t="n"/>
      <c r="E6" s="6" t="n"/>
    </row>
    <row r="7">
      <c r="A7" s="5" t="n">
        <v>6</v>
      </c>
      <c r="B7" s="6" t="n"/>
      <c r="C7" s="6" t="n"/>
      <c r="D7" s="6" t="n"/>
      <c r="E7" s="6" t="n"/>
    </row>
    <row r="8">
      <c r="A8" s="5" t="n">
        <v>7</v>
      </c>
      <c r="B8" s="6" t="n"/>
      <c r="C8" s="6" t="n"/>
      <c r="D8" s="6" t="n"/>
      <c r="E8" s="6" t="n"/>
    </row>
    <row r="9">
      <c r="A9" s="5" t="n">
        <v>8</v>
      </c>
      <c r="B9" s="6" t="n"/>
      <c r="C9" s="6" t="n"/>
      <c r="D9" s="6" t="n"/>
      <c r="E9" s="6" t="n"/>
    </row>
    <row r="10">
      <c r="A10" s="5" t="n">
        <v>9</v>
      </c>
      <c r="B10" s="6" t="n"/>
      <c r="C10" s="6" t="n"/>
      <c r="D10" s="6" t="n"/>
      <c r="E10" s="6" t="n"/>
    </row>
    <row r="11">
      <c r="A11" s="5" t="n">
        <v>10</v>
      </c>
      <c r="B11" s="6" t="n"/>
      <c r="C11" s="6" t="n"/>
      <c r="D11" s="6" t="n"/>
      <c r="E11" s="6" t="n"/>
    </row>
    <row r="12">
      <c r="A12" s="5" t="n">
        <v>11</v>
      </c>
      <c r="B12" s="6" t="n"/>
      <c r="C12" s="6" t="n"/>
      <c r="D12" s="6" t="n"/>
      <c r="E12" s="6" t="n"/>
    </row>
    <row r="13">
      <c r="A13" s="5" t="n">
        <v>12</v>
      </c>
      <c r="B13" s="6" t="n"/>
      <c r="C13" s="6" t="n"/>
      <c r="D13" s="6" t="n"/>
      <c r="E13" s="6" t="n"/>
    </row>
    <row r="14">
      <c r="A14" s="5" t="n">
        <v>13</v>
      </c>
      <c r="B14" s="6" t="n"/>
      <c r="C14" s="6" t="n"/>
      <c r="D14" s="6" t="n"/>
      <c r="E14" s="6" t="n"/>
    </row>
    <row r="15">
      <c r="A15" s="5" t="n">
        <v>14</v>
      </c>
      <c r="B15" s="6" t="n"/>
      <c r="C15" s="6" t="n"/>
      <c r="D15" s="6" t="n"/>
      <c r="E15" s="6" t="n"/>
    </row>
    <row r="16">
      <c r="A16" s="5" t="n">
        <v>15</v>
      </c>
      <c r="B16" s="6" t="n"/>
      <c r="C16" s="6" t="n"/>
      <c r="D16" s="6" t="n"/>
      <c r="E16" s="6" t="n"/>
    </row>
    <row r="17">
      <c r="A17" s="5" t="n">
        <v>16</v>
      </c>
      <c r="B17" s="6" t="n"/>
      <c r="C17" s="6" t="n"/>
      <c r="D17" s="6" t="n"/>
      <c r="E17" s="6" t="n"/>
    </row>
    <row r="18">
      <c r="A18" s="5" t="n">
        <v>17</v>
      </c>
      <c r="B18" s="6" t="n"/>
      <c r="C18" s="6" t="n"/>
      <c r="D18" s="6" t="n"/>
      <c r="E18" s="6" t="n"/>
    </row>
    <row r="19">
      <c r="A19" s="5" t="n">
        <v>18</v>
      </c>
      <c r="B19" s="6" t="n"/>
      <c r="C19" s="6" t="n"/>
      <c r="D19" s="6" t="n"/>
      <c r="E19" s="6" t="n"/>
    </row>
    <row r="20">
      <c r="A20" s="5" t="n">
        <v>19</v>
      </c>
      <c r="B20" s="6" t="n"/>
      <c r="C20" s="6" t="n"/>
      <c r="D20" s="6" t="n"/>
      <c r="E20" s="6" t="n"/>
    </row>
    <row r="21">
      <c r="A21" s="5" t="n">
        <v>20</v>
      </c>
      <c r="B21" s="6" t="n"/>
      <c r="C21" s="6" t="n"/>
      <c r="D21" s="6" t="n"/>
      <c r="E21" s="6" t="n"/>
    </row>
    <row r="22">
      <c r="A22" s="5" t="n">
        <v>21</v>
      </c>
      <c r="B22" s="6" t="n"/>
      <c r="C22" s="6" t="n"/>
      <c r="D22" s="6" t="n"/>
      <c r="E22" s="6" t="n"/>
    </row>
    <row r="23">
      <c r="A23" s="5" t="n">
        <v>22</v>
      </c>
      <c r="B23" s="6" t="n"/>
      <c r="C23" s="6" t="n"/>
      <c r="D23" s="6" t="n"/>
      <c r="E23" s="6" t="n"/>
    </row>
    <row r="24">
      <c r="A24" s="5" t="n">
        <v>23</v>
      </c>
      <c r="B24" s="6" t="n"/>
      <c r="C24" s="6" t="n"/>
      <c r="D24" s="6" t="n"/>
      <c r="E24" s="6" t="n"/>
    </row>
    <row r="25">
      <c r="A25" s="5" t="n">
        <v>24</v>
      </c>
      <c r="B25" s="6" t="n"/>
      <c r="C25" s="6" t="n"/>
      <c r="D25" s="6" t="n"/>
      <c r="E25" s="6" t="n"/>
    </row>
    <row r="26">
      <c r="A26" s="5" t="n">
        <v>25</v>
      </c>
      <c r="B26" s="6" t="n"/>
      <c r="C26" s="6" t="n"/>
      <c r="D26" s="6" t="n"/>
      <c r="E26" s="6" t="n"/>
    </row>
    <row r="27">
      <c r="A27" s="5" t="n">
        <v>26</v>
      </c>
      <c r="B27" s="6" t="n"/>
      <c r="C27" s="6" t="n"/>
      <c r="D27" s="6" t="n"/>
      <c r="E27" s="6" t="n"/>
    </row>
    <row r="28">
      <c r="A28" s="5" t="n">
        <v>27</v>
      </c>
      <c r="B28" s="6" t="n"/>
      <c r="C28" s="6" t="n"/>
      <c r="D28" s="6" t="n"/>
      <c r="E28" s="6" t="n"/>
    </row>
    <row r="29">
      <c r="A29" s="5" t="n">
        <v>28</v>
      </c>
      <c r="B29" s="6" t="n"/>
      <c r="C29" s="6" t="n"/>
      <c r="D29" s="6" t="n"/>
      <c r="E29" s="6" t="n"/>
    </row>
    <row r="30">
      <c r="A30" s="5" t="n">
        <v>29</v>
      </c>
      <c r="B30" s="6" t="n"/>
      <c r="C30" s="6" t="n"/>
      <c r="D30" s="6" t="n"/>
      <c r="E30" s="6" t="n"/>
    </row>
    <row r="31">
      <c r="A31" s="5" t="n">
        <v>30</v>
      </c>
      <c r="B31" s="6" t="n"/>
      <c r="C31" s="6" t="n"/>
      <c r="D31" s="6" t="n"/>
      <c r="E31" s="6" t="n"/>
    </row>
  </sheetData>
  <dataValidations count="1">
    <dataValidation sqref="D2 D3 D4 D5 D6 D7 D8 D9 D10 D11 D12 D13 D14 D15 D16 D17 D18 D19 D20 D21 D22 D23 D24 D25 D26 D27 D28 D29 D30 D31 E2 E3 E4 E5 E6 E7 E8 E9 E10 E11 E12 E13 E14 E15 E16 E17 E18 E19 E20 E21 E22 E23 E24 E25 E26 E27 E28 E29 E30 E31" showDropDown="0" showInputMessage="0" showErrorMessage="0" allowBlank="1" type="list">
      <formula1>"present,absent"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44" customWidth="1" min="1" max="1"/>
    <col width="20" customWidth="1" min="2" max="2"/>
    <col width="20" customWidth="1" min="3" max="3"/>
    <col width="34" customWidth="1" min="4" max="4"/>
  </cols>
  <sheetData>
    <row r="1">
      <c r="A1" s="1" t="inlineStr">
        <is>
          <t>Chi-squared test for association between limpets and sea lettuce</t>
        </is>
      </c>
    </row>
    <row r="2">
      <c r="A2" t="inlineStr">
        <is>
          <t>H0: there is no association between the distribution of limpets and the distribution of sea lettuce.</t>
        </is>
      </c>
    </row>
    <row r="3">
      <c r="A3" s="2" t="inlineStr">
        <is>
          <t>Observed (O): counted from the Random quadrats tab</t>
        </is>
      </c>
    </row>
    <row r="4">
      <c r="A4" s="11" t="inlineStr"/>
      <c r="B4" s="11" t="inlineStr">
        <is>
          <t>Sea lettuce present</t>
        </is>
      </c>
      <c r="C4" s="11" t="inlineStr">
        <is>
          <t>Sea lettuce absent</t>
        </is>
      </c>
      <c r="D4" s="11" t="inlineStr">
        <is>
          <t>Total</t>
        </is>
      </c>
    </row>
    <row r="5">
      <c r="A5" t="inlineStr">
        <is>
          <t>Limpets present</t>
        </is>
      </c>
      <c r="B5">
        <f>COUNTIFS('Random quadrats'!$D$2:$D$31,"present",'Random quadrats'!$E$2:$E$31,"present")</f>
        <v/>
      </c>
      <c r="C5">
        <f>COUNTIFS('Random quadrats'!$D$2:$D$31,"present",'Random quadrats'!$E$2:$E$31,"absent")</f>
        <v/>
      </c>
      <c r="D5">
        <f>SUM(B5:C5)</f>
        <v/>
      </c>
    </row>
    <row r="6">
      <c r="A6" t="inlineStr">
        <is>
          <t>Limpets absent</t>
        </is>
      </c>
      <c r="B6">
        <f>COUNTIFS('Random quadrats'!$D$2:$D$31,"absent",'Random quadrats'!$E$2:$E$31,"present")</f>
        <v/>
      </c>
      <c r="C6">
        <f>COUNTIFS('Random quadrats'!$D$2:$D$31,"absent",'Random quadrats'!$E$2:$E$31,"absent")</f>
        <v/>
      </c>
      <c r="D6">
        <f>SUM(B6:C6)</f>
        <v/>
      </c>
    </row>
    <row r="7">
      <c r="A7" t="inlineStr">
        <is>
          <t>Total</t>
        </is>
      </c>
      <c r="B7">
        <f>SUM(B5:B6)</f>
        <v/>
      </c>
      <c r="C7">
        <f>SUM(C5:C6)</f>
        <v/>
      </c>
      <c r="D7">
        <f>SUM(D5:D6)</f>
        <v/>
      </c>
    </row>
    <row r="9">
      <c r="A9" s="2" t="inlineStr">
        <is>
          <t>Expected (E) = row total × column total ÷ grand total</t>
        </is>
      </c>
    </row>
    <row r="10">
      <c r="A10" s="11" t="inlineStr"/>
      <c r="B10" s="11" t="inlineStr">
        <is>
          <t>Sea lettuce present</t>
        </is>
      </c>
      <c r="C10" s="11" t="inlineStr">
        <is>
          <t>Sea lettuce absent</t>
        </is>
      </c>
    </row>
    <row r="11">
      <c r="A11" t="inlineStr">
        <is>
          <t>Limpets present</t>
        </is>
      </c>
      <c r="B11">
        <f>IFERROR($D5*B$7/$D$7,"")</f>
        <v/>
      </c>
      <c r="C11">
        <f>IFERROR($D5*C$7/$D$7,"")</f>
        <v/>
      </c>
    </row>
    <row r="12">
      <c r="A12" t="inlineStr">
        <is>
          <t>Limpets absent</t>
        </is>
      </c>
      <c r="B12">
        <f>IFERROR($D6*B$7/$D$7,"")</f>
        <v/>
      </c>
      <c r="C12">
        <f>IFERROR($D6*C$7/$D$7,"")</f>
        <v/>
      </c>
    </row>
    <row r="14">
      <c r="A14" s="2" t="inlineStr">
        <is>
          <t>(O − E)² ÷ E</t>
        </is>
      </c>
    </row>
    <row r="15">
      <c r="A15" s="11" t="inlineStr"/>
      <c r="B15" s="11" t="inlineStr">
        <is>
          <t>Sea lettuce present</t>
        </is>
      </c>
      <c r="C15" s="11" t="inlineStr">
        <is>
          <t>Sea lettuce absent</t>
        </is>
      </c>
    </row>
    <row r="16">
      <c r="A16" t="inlineStr">
        <is>
          <t>Limpets present</t>
        </is>
      </c>
      <c r="B16">
        <f>IFERROR((B5-B11)^2/B11,"")</f>
        <v/>
      </c>
      <c r="C16">
        <f>IFERROR((C5-C11)^2/C11,"")</f>
        <v/>
      </c>
    </row>
    <row r="17">
      <c r="A17" t="inlineStr">
        <is>
          <t>Limpets absent</t>
        </is>
      </c>
      <c r="B17">
        <f>IFERROR((B6-B12)^2/B12,"")</f>
        <v/>
      </c>
      <c r="C17">
        <f>IFERROR((C6-C12)^2/C12,"")</f>
        <v/>
      </c>
    </row>
    <row r="19">
      <c r="A19" t="inlineStr">
        <is>
          <t>χ² (the sum of the four cells)</t>
        </is>
      </c>
      <c r="B19" s="7">
        <f>IFERROR(SUM(B16:C17),"")</f>
        <v/>
      </c>
      <c r="D19" s="8" t="inlineStr">
        <is>
          <t>=SUM(B16:C17)</t>
        </is>
      </c>
    </row>
    <row r="20">
      <c r="A20" t="inlineStr">
        <is>
          <t>Degrees of freedom</t>
        </is>
      </c>
      <c r="B20" s="9">
        <f>(2-1)*(2-1)</f>
        <v/>
      </c>
      <c r="D20" s="8" t="inlineStr">
        <is>
          <t>(rows − 1) × (columns − 1)</t>
        </is>
      </c>
    </row>
    <row r="21">
      <c r="A21" t="inlineStr">
        <is>
          <t>Critical value at p = 0.05</t>
        </is>
      </c>
      <c r="B21" s="7">
        <f>_xlfn.CHISQ.INV.RT(0.05,B20)</f>
        <v/>
      </c>
      <c r="D21" s="8" t="inlineStr">
        <is>
          <t>=CHISQ.INV.RT(0.05, 1)</t>
        </is>
      </c>
    </row>
    <row r="22">
      <c r="A22" t="inlineStr">
        <is>
          <t>p-value</t>
        </is>
      </c>
      <c r="B22" s="13">
        <f>IFERROR(_xlfn.CHISQ.TEST(B5:C6,B11:C12),"")</f>
        <v/>
      </c>
      <c r="D22" s="8" t="inlineStr">
        <is>
          <t>=CHISQ.TEST(B5:C6, B11:C12)</t>
        </is>
      </c>
    </row>
    <row r="23">
      <c r="A23" t="inlineStr">
        <is>
          <t>Smallest expected value (must be at least 5)</t>
        </is>
      </c>
      <c r="B23" s="7">
        <f>IFERROR(MIN(B11:C12),"")</f>
        <v/>
      </c>
      <c r="D23" s="8" t="inlineStr">
        <is>
          <t>=MIN(B11:C12)</t>
        </is>
      </c>
    </row>
    <row r="24">
      <c r="A24" t="inlineStr">
        <is>
          <t>Conclusion</t>
        </is>
      </c>
      <c r="B24" s="9">
        <f>IF(B19="","",IF(B19&gt;B21,"χ² &gt; critical value: reject H0. There is a significant association (p &lt; 0.05).","χ² &lt; critical value: do not reject H0. No significant association."))</f>
        <v/>
      </c>
      <c r="D24" s="8" t="inlineStr"/>
    </row>
    <row r="26">
      <c r="A26" t="inlineStr">
        <is>
          <t>Then compare O with E: if the species are found together less often than expected, the association is negative.</t>
        </is>
      </c>
    </row>
    <row r="27">
      <c r="A27" t="inlineStr">
        <is>
          <t>An association does not show the cause. It may come from grazing, from different niches or from competition.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8" max="8"/>
    <col width="14" customWidth="1" min="9" max="9"/>
    <col width="14" customWidth="1" min="10" max="10"/>
    <col width="14" customWidth="1" min="11" max="11"/>
    <col width="14" customWidth="1" min="12" max="12"/>
  </cols>
  <sheetData>
    <row r="1">
      <c r="A1" s="2" t="inlineStr">
        <is>
          <t>The virtual shore on the page (simulated data). Copy these into the yellow cells to check your formulas.</t>
        </is>
      </c>
    </row>
    <row r="3">
      <c r="A3" s="2" t="inlineStr">
        <is>
          <t>Distance / m</t>
        </is>
      </c>
      <c r="B3" s="2" t="inlineStr">
        <is>
          <t>Rock temperature / °C</t>
        </is>
      </c>
      <c r="C3" s="2" t="inlineStr">
        <is>
          <t>Barnacles / %</t>
        </is>
      </c>
      <c r="D3" s="2" t="inlineStr">
        <is>
          <t>Sea lettuce / %</t>
        </is>
      </c>
      <c r="E3" s="2" t="inlineStr">
        <is>
          <t>Brown seaweed / %</t>
        </is>
      </c>
      <c r="F3" s="2" t="inlineStr">
        <is>
          <t>Limpets / number</t>
        </is>
      </c>
      <c r="H3" s="2" t="inlineStr">
        <is>
          <t>Quadrat</t>
        </is>
      </c>
      <c r="I3" s="2" t="inlineStr">
        <is>
          <t>Across</t>
        </is>
      </c>
      <c r="J3" s="2" t="inlineStr">
        <is>
          <t>Down</t>
        </is>
      </c>
      <c r="K3" s="2" t="inlineStr">
        <is>
          <t>Limpets</t>
        </is>
      </c>
      <c r="L3" s="2" t="inlineStr">
        <is>
          <t>Sea lettuce</t>
        </is>
      </c>
    </row>
    <row r="4">
      <c r="A4" t="n">
        <v>0</v>
      </c>
      <c r="B4" t="n">
        <v>33.6</v>
      </c>
      <c r="C4" t="n">
        <v>56</v>
      </c>
      <c r="D4" t="n">
        <v>0</v>
      </c>
      <c r="E4" t="n">
        <v>2</v>
      </c>
      <c r="F4" t="n">
        <v>1</v>
      </c>
      <c r="H4" t="n">
        <v>1</v>
      </c>
      <c r="I4" t="n">
        <v>7</v>
      </c>
      <c r="J4" t="n">
        <v>9</v>
      </c>
      <c r="K4" t="inlineStr">
        <is>
          <t>absent</t>
        </is>
      </c>
      <c r="L4" t="inlineStr">
        <is>
          <t>present</t>
        </is>
      </c>
    </row>
    <row r="5">
      <c r="A5" t="n">
        <v>1</v>
      </c>
      <c r="B5" t="n">
        <v>32.9</v>
      </c>
      <c r="C5" t="n">
        <v>50</v>
      </c>
      <c r="D5" t="n">
        <v>0</v>
      </c>
      <c r="E5" t="n">
        <v>6</v>
      </c>
      <c r="F5" t="n">
        <v>3</v>
      </c>
      <c r="H5" t="n">
        <v>2</v>
      </c>
      <c r="I5" t="n">
        <v>9</v>
      </c>
      <c r="J5" t="n">
        <v>9</v>
      </c>
      <c r="K5" t="inlineStr">
        <is>
          <t>present</t>
        </is>
      </c>
      <c r="L5" t="inlineStr">
        <is>
          <t>absent</t>
        </is>
      </c>
    </row>
    <row r="6">
      <c r="A6" t="n">
        <v>2</v>
      </c>
      <c r="B6" t="n">
        <v>31.4</v>
      </c>
      <c r="C6" t="n">
        <v>45</v>
      </c>
      <c r="D6" t="n">
        <v>89</v>
      </c>
      <c r="E6" t="n">
        <v>0</v>
      </c>
      <c r="F6" t="n">
        <v>2</v>
      </c>
      <c r="H6" t="n">
        <v>3</v>
      </c>
      <c r="I6" t="n">
        <v>6</v>
      </c>
      <c r="J6" t="n">
        <v>2</v>
      </c>
      <c r="K6" t="inlineStr">
        <is>
          <t>absent</t>
        </is>
      </c>
      <c r="L6" t="inlineStr">
        <is>
          <t>present</t>
        </is>
      </c>
    </row>
    <row r="7">
      <c r="A7" t="n">
        <v>3</v>
      </c>
      <c r="B7" t="n">
        <v>31</v>
      </c>
      <c r="C7" t="n">
        <v>30</v>
      </c>
      <c r="D7" t="n">
        <v>89</v>
      </c>
      <c r="E7" t="n">
        <v>0</v>
      </c>
      <c r="F7" t="n">
        <v>1</v>
      </c>
      <c r="H7" t="n">
        <v>4</v>
      </c>
      <c r="I7" t="n">
        <v>3</v>
      </c>
      <c r="J7" t="n">
        <v>5</v>
      </c>
      <c r="K7" t="inlineStr">
        <is>
          <t>absent</t>
        </is>
      </c>
      <c r="L7" t="inlineStr">
        <is>
          <t>present</t>
        </is>
      </c>
    </row>
    <row r="8">
      <c r="A8" t="n">
        <v>4</v>
      </c>
      <c r="B8" t="n">
        <v>29.4</v>
      </c>
      <c r="C8" t="n">
        <v>34</v>
      </c>
      <c r="D8" t="n">
        <v>100</v>
      </c>
      <c r="E8" t="n">
        <v>0</v>
      </c>
      <c r="F8" t="n">
        <v>0</v>
      </c>
      <c r="H8" t="n">
        <v>5</v>
      </c>
      <c r="I8" t="n">
        <v>1</v>
      </c>
      <c r="J8" t="n">
        <v>2</v>
      </c>
      <c r="K8" t="inlineStr">
        <is>
          <t>absent</t>
        </is>
      </c>
      <c r="L8" t="inlineStr">
        <is>
          <t>present</t>
        </is>
      </c>
    </row>
    <row r="9">
      <c r="A9" t="n">
        <v>5</v>
      </c>
      <c r="B9" t="n">
        <v>28.9</v>
      </c>
      <c r="C9" t="n">
        <v>20</v>
      </c>
      <c r="D9" t="n">
        <v>100</v>
      </c>
      <c r="E9" t="n">
        <v>0</v>
      </c>
      <c r="F9" t="n">
        <v>1</v>
      </c>
      <c r="H9" t="n">
        <v>6</v>
      </c>
      <c r="I9" t="n">
        <v>5</v>
      </c>
      <c r="J9" t="n">
        <v>0</v>
      </c>
      <c r="K9" t="inlineStr">
        <is>
          <t>absent</t>
        </is>
      </c>
      <c r="L9" t="inlineStr">
        <is>
          <t>present</t>
        </is>
      </c>
    </row>
    <row r="10">
      <c r="A10" t="n">
        <v>6</v>
      </c>
      <c r="B10" t="n">
        <v>27.7</v>
      </c>
      <c r="C10" t="n">
        <v>24</v>
      </c>
      <c r="D10" t="n">
        <v>100</v>
      </c>
      <c r="E10" t="n">
        <v>0</v>
      </c>
      <c r="F10" t="n">
        <v>2</v>
      </c>
      <c r="H10" t="n">
        <v>7</v>
      </c>
      <c r="I10" t="n">
        <v>4</v>
      </c>
      <c r="J10" t="n">
        <v>1</v>
      </c>
      <c r="K10" t="inlineStr">
        <is>
          <t>absent</t>
        </is>
      </c>
      <c r="L10" t="inlineStr">
        <is>
          <t>absent</t>
        </is>
      </c>
    </row>
    <row r="11">
      <c r="A11" t="n">
        <v>7</v>
      </c>
      <c r="B11" t="n">
        <v>26.9</v>
      </c>
      <c r="C11" t="n">
        <v>10</v>
      </c>
      <c r="D11" t="n">
        <v>29</v>
      </c>
      <c r="E11" t="n">
        <v>26</v>
      </c>
      <c r="F11" t="n">
        <v>4</v>
      </c>
      <c r="H11" t="n">
        <v>8</v>
      </c>
      <c r="I11" t="n">
        <v>3</v>
      </c>
      <c r="J11" t="n">
        <v>7</v>
      </c>
      <c r="K11" t="inlineStr">
        <is>
          <t>absent</t>
        </is>
      </c>
      <c r="L11" t="inlineStr">
        <is>
          <t>present</t>
        </is>
      </c>
    </row>
    <row r="12">
      <c r="A12" t="n">
        <v>8</v>
      </c>
      <c r="B12" t="n">
        <v>25.6</v>
      </c>
      <c r="C12" t="n">
        <v>13</v>
      </c>
      <c r="D12" t="n">
        <v>0</v>
      </c>
      <c r="E12" t="n">
        <v>64</v>
      </c>
      <c r="F12" t="n">
        <v>3</v>
      </c>
      <c r="H12" t="n">
        <v>9</v>
      </c>
      <c r="I12" t="n">
        <v>9</v>
      </c>
      <c r="J12" t="n">
        <v>5</v>
      </c>
      <c r="K12" t="inlineStr">
        <is>
          <t>present</t>
        </is>
      </c>
      <c r="L12" t="inlineStr">
        <is>
          <t>absent</t>
        </is>
      </c>
    </row>
    <row r="13">
      <c r="A13" t="n">
        <v>9</v>
      </c>
      <c r="B13" t="n">
        <v>25</v>
      </c>
      <c r="C13" t="n">
        <v>5</v>
      </c>
      <c r="D13" t="n">
        <v>0</v>
      </c>
      <c r="E13" t="n">
        <v>84</v>
      </c>
      <c r="F13" t="n">
        <v>2</v>
      </c>
      <c r="H13" t="n">
        <v>10</v>
      </c>
      <c r="I13" t="n">
        <v>4</v>
      </c>
      <c r="J13" t="n">
        <v>9</v>
      </c>
      <c r="K13" t="inlineStr">
        <is>
          <t>absent</t>
        </is>
      </c>
      <c r="L13" t="inlineStr">
        <is>
          <t>present</t>
        </is>
      </c>
    </row>
    <row r="14">
      <c r="A14" t="n">
        <v>10</v>
      </c>
      <c r="B14" t="n">
        <v>24.2</v>
      </c>
      <c r="C14" t="n">
        <v>1</v>
      </c>
      <c r="D14" t="n">
        <v>0</v>
      </c>
      <c r="E14" t="n">
        <v>85</v>
      </c>
      <c r="F14" t="n">
        <v>1</v>
      </c>
      <c r="H14" t="n">
        <v>11</v>
      </c>
      <c r="I14" t="n">
        <v>0</v>
      </c>
      <c r="J14" t="n">
        <v>1</v>
      </c>
      <c r="K14" t="inlineStr">
        <is>
          <t>absent</t>
        </is>
      </c>
      <c r="L14" t="inlineStr">
        <is>
          <t>present</t>
        </is>
      </c>
    </row>
    <row r="15">
      <c r="H15" t="n">
        <v>12</v>
      </c>
      <c r="I15" t="n">
        <v>4</v>
      </c>
      <c r="J15" t="n">
        <v>4</v>
      </c>
      <c r="K15" t="inlineStr">
        <is>
          <t>present</t>
        </is>
      </c>
      <c r="L15" t="inlineStr">
        <is>
          <t>absent</t>
        </is>
      </c>
    </row>
    <row r="16">
      <c r="H16" t="n">
        <v>13</v>
      </c>
      <c r="I16" t="n">
        <v>9</v>
      </c>
      <c r="J16" t="n">
        <v>8</v>
      </c>
      <c r="K16" t="inlineStr">
        <is>
          <t>present</t>
        </is>
      </c>
      <c r="L16" t="inlineStr">
        <is>
          <t>absent</t>
        </is>
      </c>
    </row>
    <row r="17">
      <c r="H17" t="n">
        <v>14</v>
      </c>
      <c r="I17" t="n">
        <v>1</v>
      </c>
      <c r="J17" t="n">
        <v>5</v>
      </c>
      <c r="K17" t="inlineStr">
        <is>
          <t>absent</t>
        </is>
      </c>
      <c r="L17" t="inlineStr">
        <is>
          <t>present</t>
        </is>
      </c>
    </row>
    <row r="18">
      <c r="H18" t="n">
        <v>15</v>
      </c>
      <c r="I18" t="n">
        <v>8</v>
      </c>
      <c r="J18" t="n">
        <v>9</v>
      </c>
      <c r="K18" t="inlineStr">
        <is>
          <t>present</t>
        </is>
      </c>
      <c r="L18" t="inlineStr">
        <is>
          <t>absent</t>
        </is>
      </c>
    </row>
    <row r="19">
      <c r="H19" t="n">
        <v>16</v>
      </c>
      <c r="I19" t="n">
        <v>2</v>
      </c>
      <c r="J19" t="n">
        <v>9</v>
      </c>
      <c r="K19" t="inlineStr">
        <is>
          <t>absent</t>
        </is>
      </c>
      <c r="L19" t="inlineStr">
        <is>
          <t>present</t>
        </is>
      </c>
    </row>
    <row r="20">
      <c r="H20" t="n">
        <v>17</v>
      </c>
      <c r="I20" t="n">
        <v>9</v>
      </c>
      <c r="J20" t="n">
        <v>4</v>
      </c>
      <c r="K20" t="inlineStr">
        <is>
          <t>present</t>
        </is>
      </c>
      <c r="L20" t="inlineStr">
        <is>
          <t>absent</t>
        </is>
      </c>
    </row>
    <row r="21">
      <c r="H21" t="n">
        <v>18</v>
      </c>
      <c r="I21" t="n">
        <v>3</v>
      </c>
      <c r="J21" t="n">
        <v>2</v>
      </c>
      <c r="K21" t="inlineStr">
        <is>
          <t>absent</t>
        </is>
      </c>
      <c r="L21" t="inlineStr">
        <is>
          <t>present</t>
        </is>
      </c>
    </row>
    <row r="22">
      <c r="H22" t="n">
        <v>19</v>
      </c>
      <c r="I22" t="n">
        <v>1</v>
      </c>
      <c r="J22" t="n">
        <v>7</v>
      </c>
      <c r="K22" t="inlineStr">
        <is>
          <t>present</t>
        </is>
      </c>
      <c r="L22" t="inlineStr">
        <is>
          <t>present</t>
        </is>
      </c>
    </row>
    <row r="23">
      <c r="H23" t="n">
        <v>20</v>
      </c>
      <c r="I23" t="n">
        <v>3</v>
      </c>
      <c r="J23" t="n">
        <v>9</v>
      </c>
      <c r="K23" t="inlineStr">
        <is>
          <t>present</t>
        </is>
      </c>
      <c r="L23" t="inlineStr">
        <is>
          <t>present</t>
        </is>
      </c>
    </row>
    <row r="24">
      <c r="H24" t="n">
        <v>21</v>
      </c>
      <c r="I24" t="n">
        <v>1</v>
      </c>
      <c r="J24" t="n">
        <v>8</v>
      </c>
      <c r="K24" t="inlineStr">
        <is>
          <t>absent</t>
        </is>
      </c>
      <c r="L24" t="inlineStr">
        <is>
          <t>present</t>
        </is>
      </c>
    </row>
    <row r="25">
      <c r="H25" t="n">
        <v>22</v>
      </c>
      <c r="I25" t="n">
        <v>5</v>
      </c>
      <c r="J25" t="n">
        <v>7</v>
      </c>
      <c r="K25" t="inlineStr">
        <is>
          <t>present</t>
        </is>
      </c>
      <c r="L25" t="inlineStr">
        <is>
          <t>absent</t>
        </is>
      </c>
    </row>
    <row r="26">
      <c r="H26" t="n">
        <v>23</v>
      </c>
      <c r="I26" t="n">
        <v>9</v>
      </c>
      <c r="J26" t="n">
        <v>3</v>
      </c>
      <c r="K26" t="inlineStr">
        <is>
          <t>absent</t>
        </is>
      </c>
      <c r="L26" t="inlineStr">
        <is>
          <t>absent</t>
        </is>
      </c>
    </row>
    <row r="27">
      <c r="H27" t="n">
        <v>24</v>
      </c>
      <c r="I27" t="n">
        <v>2</v>
      </c>
      <c r="J27" t="n">
        <v>8</v>
      </c>
      <c r="K27" t="inlineStr">
        <is>
          <t>absent</t>
        </is>
      </c>
      <c r="L27" t="inlineStr">
        <is>
          <t>present</t>
        </is>
      </c>
    </row>
    <row r="28">
      <c r="H28" t="n">
        <v>25</v>
      </c>
      <c r="I28" t="n">
        <v>3</v>
      </c>
      <c r="J28" t="n">
        <v>1</v>
      </c>
      <c r="K28" t="inlineStr">
        <is>
          <t>present</t>
        </is>
      </c>
      <c r="L28" t="inlineStr">
        <is>
          <t>absent</t>
        </is>
      </c>
    </row>
    <row r="29">
      <c r="H29" t="n">
        <v>26</v>
      </c>
      <c r="I29" t="n">
        <v>6</v>
      </c>
      <c r="J29" t="n">
        <v>4</v>
      </c>
      <c r="K29" t="inlineStr">
        <is>
          <t>absent</t>
        </is>
      </c>
      <c r="L29" t="inlineStr">
        <is>
          <t>absent</t>
        </is>
      </c>
    </row>
    <row r="30">
      <c r="H30" t="n">
        <v>27</v>
      </c>
      <c r="I30" t="n">
        <v>1</v>
      </c>
      <c r="J30" t="n">
        <v>3</v>
      </c>
      <c r="K30" t="inlineStr">
        <is>
          <t>absent</t>
        </is>
      </c>
      <c r="L30" t="inlineStr">
        <is>
          <t>present</t>
        </is>
      </c>
    </row>
    <row r="31">
      <c r="H31" t="n">
        <v>28</v>
      </c>
      <c r="I31" t="n">
        <v>0</v>
      </c>
      <c r="J31" t="n">
        <v>8</v>
      </c>
      <c r="K31" t="inlineStr">
        <is>
          <t>present</t>
        </is>
      </c>
      <c r="L31" t="inlineStr">
        <is>
          <t>present</t>
        </is>
      </c>
    </row>
    <row r="32">
      <c r="H32" t="n">
        <v>29</v>
      </c>
      <c r="I32" t="n">
        <v>8</v>
      </c>
      <c r="J32" t="n">
        <v>1</v>
      </c>
      <c r="K32" t="inlineStr">
        <is>
          <t>present</t>
        </is>
      </c>
      <c r="L32" t="inlineStr">
        <is>
          <t>present</t>
        </is>
      </c>
    </row>
    <row r="33">
      <c r="H33" t="n">
        <v>30</v>
      </c>
      <c r="I33" t="n">
        <v>9</v>
      </c>
      <c r="J33" t="n">
        <v>0</v>
      </c>
      <c r="K33" t="inlineStr">
        <is>
          <t>present</t>
        </is>
      </c>
      <c r="L33" t="inlineStr">
        <is>
          <t>absent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20" customWidth="1" min="1" max="1"/>
    <col width="20" customWidth="1" min="4" max="4"/>
  </cols>
  <sheetData>
    <row r="1">
      <c r="A1" s="2" t="inlineStr">
        <is>
          <t>Critical values of Pearson's r, p = 0.05, two-tailed</t>
        </is>
      </c>
      <c r="D1" s="2" t="inlineStr">
        <is>
          <t>Critical values of χ²</t>
        </is>
      </c>
    </row>
    <row r="3">
      <c r="A3" s="2" t="inlineStr">
        <is>
          <t>Number of pairs (n)</t>
        </is>
      </c>
      <c r="B3" s="2" t="inlineStr">
        <is>
          <t>Critical r</t>
        </is>
      </c>
      <c r="D3" s="2" t="inlineStr">
        <is>
          <t>Degrees of freedom</t>
        </is>
      </c>
      <c r="E3" s="2" t="inlineStr">
        <is>
          <t>p = 0.05</t>
        </is>
      </c>
      <c r="F3" s="2" t="inlineStr">
        <is>
          <t>p = 0.01</t>
        </is>
      </c>
    </row>
    <row r="4">
      <c r="A4" t="n">
        <v>5</v>
      </c>
      <c r="B4" t="n">
        <v>0.878</v>
      </c>
      <c r="D4" t="n">
        <v>1</v>
      </c>
      <c r="E4" t="n">
        <v>3.84</v>
      </c>
      <c r="F4" t="n">
        <v>6.63</v>
      </c>
    </row>
    <row r="5">
      <c r="A5" t="n">
        <v>6</v>
      </c>
      <c r="B5" t="n">
        <v>0.8110000000000001</v>
      </c>
      <c r="D5" t="n">
        <v>2</v>
      </c>
      <c r="E5" t="n">
        <v>5.99</v>
      </c>
      <c r="F5" t="n">
        <v>9.210000000000001</v>
      </c>
    </row>
    <row r="6">
      <c r="A6" t="n">
        <v>7</v>
      </c>
      <c r="B6" t="n">
        <v>0.754</v>
      </c>
      <c r="D6" t="n">
        <v>3</v>
      </c>
      <c r="E6" t="n">
        <v>7.81</v>
      </c>
      <c r="F6" t="n">
        <v>11.34</v>
      </c>
    </row>
    <row r="7">
      <c r="A7" t="n">
        <v>8</v>
      </c>
      <c r="B7" t="n">
        <v>0.707</v>
      </c>
      <c r="D7" t="n">
        <v>4</v>
      </c>
      <c r="E7" t="n">
        <v>9.49</v>
      </c>
      <c r="F7" t="n">
        <v>13.28</v>
      </c>
    </row>
    <row r="8">
      <c r="A8" t="n">
        <v>9</v>
      </c>
      <c r="B8" t="n">
        <v>0.666</v>
      </c>
    </row>
    <row r="9">
      <c r="A9" t="n">
        <v>10</v>
      </c>
      <c r="B9" t="n">
        <v>0.632</v>
      </c>
    </row>
    <row r="10">
      <c r="A10" t="n">
        <v>11</v>
      </c>
      <c r="B10" t="n">
        <v>0.602</v>
      </c>
    </row>
    <row r="11">
      <c r="A11" t="n">
        <v>12</v>
      </c>
      <c r="B11" t="n">
        <v>0.576</v>
      </c>
    </row>
    <row r="12">
      <c r="A12" t="n">
        <v>13</v>
      </c>
      <c r="B12" t="n">
        <v>0.553</v>
      </c>
    </row>
    <row r="13">
      <c r="A13" t="n">
        <v>14</v>
      </c>
      <c r="B13" t="n">
        <v>0.532</v>
      </c>
    </row>
    <row r="14">
      <c r="A14" t="n">
        <v>15</v>
      </c>
      <c r="B14" t="n">
        <v>0.514</v>
      </c>
    </row>
    <row r="15">
      <c r="A15" t="n">
        <v>16</v>
      </c>
      <c r="B15" t="n">
        <v>0.497</v>
      </c>
    </row>
    <row r="16">
      <c r="A16" t="n">
        <v>17</v>
      </c>
      <c r="B16" t="n">
        <v>0.482</v>
      </c>
    </row>
    <row r="17">
      <c r="A17" t="n">
        <v>18</v>
      </c>
      <c r="B17" t="n">
        <v>0.468</v>
      </c>
    </row>
    <row r="18">
      <c r="A18" t="n">
        <v>19</v>
      </c>
      <c r="B18" t="n">
        <v>0.456</v>
      </c>
    </row>
    <row r="19">
      <c r="A19" t="n">
        <v>20</v>
      </c>
      <c r="B19" t="n">
        <v>0.444</v>
      </c>
    </row>
    <row r="20">
      <c r="A20" t="n">
        <v>21</v>
      </c>
      <c r="B20" t="n">
        <v>0.433</v>
      </c>
    </row>
    <row r="21">
      <c r="A21" t="n">
        <v>22</v>
      </c>
      <c r="B21" t="n">
        <v>0.423</v>
      </c>
    </row>
    <row r="22">
      <c r="A22" t="n">
        <v>23</v>
      </c>
      <c r="B22" t="n">
        <v>0.413</v>
      </c>
    </row>
    <row r="23">
      <c r="A23" t="n">
        <v>24</v>
      </c>
      <c r="B23" t="n">
        <v>0.404</v>
      </c>
    </row>
    <row r="24">
      <c r="A24" t="n">
        <v>25</v>
      </c>
      <c r="B24" t="n">
        <v>0.396</v>
      </c>
    </row>
    <row r="25">
      <c r="A25" t="n">
        <v>26</v>
      </c>
      <c r="B25" t="n">
        <v>0.388</v>
      </c>
    </row>
    <row r="26">
      <c r="A26" t="n">
        <v>27</v>
      </c>
      <c r="B26" t="n">
        <v>0.381</v>
      </c>
    </row>
    <row r="27">
      <c r="A27" t="n">
        <v>28</v>
      </c>
      <c r="B27" t="n">
        <v>0.374</v>
      </c>
    </row>
    <row r="28">
      <c r="A28" t="n">
        <v>29</v>
      </c>
      <c r="B28" t="n">
        <v>0.367</v>
      </c>
    </row>
    <row r="29">
      <c r="A29" t="n">
        <v>30</v>
      </c>
      <c r="B29" t="n">
        <v>0.361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2026-10-11T02:57:15Z</dcterms:created>
  <dcterms:modified xmlns:dcterms="http://purl.org/dc/terms/" xmlns:xsi="http://www.w3.org/2001/XMLSchema-instance" xsi:type="dcterms:W3CDTF">2026-10-11T02:57:15Z</dcterms:modified>
</cp:coreProperties>
</file>